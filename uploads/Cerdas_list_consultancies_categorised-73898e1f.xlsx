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4" authorId="0">
      <text>
        <r>
          <rPr>
            <sz val="10"/>
            <rFont val="Arial"/>
            <family val="2"/>
          </rPr>
          <t xml:space="preserve">Threshold set by user (20 Oct 2026). Change here and column N updates.</t>
        </r>
      </text>
    </comment>
  </commentList>
</comments>
</file>

<file path=xl/sharedStrings.xml><?xml version="1.0" encoding="utf-8"?>
<sst xmlns="http://schemas.openxmlformats.org/spreadsheetml/2006/main" count="498" uniqueCount="270">
  <si>
    <t xml:space="preserve">no</t>
  </si>
  <si>
    <t xml:space="preserve">Application Number</t>
  </si>
  <si>
    <t xml:space="preserve">Cost Centre</t>
  </si>
  <si>
    <t xml:space="preserve">UTP Executive</t>
  </si>
  <si>
    <t xml:space="preserve">PI</t>
  </si>
  <si>
    <t xml:space="preserve">Funder</t>
  </si>
  <si>
    <t xml:space="preserve">Project Title</t>
  </si>
  <si>
    <t xml:space="preserve">Type of Request</t>
  </si>
  <si>
    <t xml:space="preserve">Approved Project Start Date</t>
  </si>
  <si>
    <t xml:space="preserve">Approved Project End Date</t>
  </si>
  <si>
    <t xml:space="preserve">Total Amount Approved</t>
  </si>
  <si>
    <t xml:space="preserve">Status</t>
  </si>
  <si>
    <t xml:space="preserve">Category</t>
  </si>
  <si>
    <t xml:space="preserve">Category thresholds</t>
  </si>
  <si>
    <t xml:space="preserve">Amount (RM)</t>
  </si>
  <si>
    <t xml:space="preserve">CR2024-0410</t>
  </si>
  <si>
    <t xml:space="preserve">015QB0-289</t>
  </si>
  <si>
    <t xml:space="preserve">Hazriena AD. Razak</t>
  </si>
  <si>
    <t xml:space="preserve">Izzatdin Abdul Aziz</t>
  </si>
  <si>
    <t xml:space="preserve">PETRONAS Technical Services Sdn Bhd</t>
  </si>
  <si>
    <t xml:space="preserve">MMPD - Features development and enhancement</t>
  </si>
  <si>
    <t xml:space="preserve">Consultation</t>
  </si>
  <si>
    <t xml:space="preserve">03/04/2024</t>
  </si>
  <si>
    <t xml:space="preserve">02/04/2025</t>
  </si>
  <si>
    <t xml:space="preserve">Active</t>
  </si>
  <si>
    <t xml:space="preserve">Project if above</t>
  </si>
  <si>
    <t xml:space="preserve">CR-0579</t>
  </si>
  <si>
    <t xml:space="preserve">015QB0-381</t>
  </si>
  <si>
    <t xml:space="preserve">Said Jadid Abdulkadir</t>
  </si>
  <si>
    <t xml:space="preserve">PROVISION OF RADIOGRAPHIC FILM DIGITIZATION SERVICES FOR NDE-READI DEPLOYMENT AT PGB (NPS 36 SG LOOP 2)</t>
  </si>
  <si>
    <t xml:space="preserve">23/06/2025</t>
  </si>
  <si>
    <t xml:space="preserve">30/01/2026</t>
  </si>
  <si>
    <t xml:space="preserve">Flagship Project if above</t>
  </si>
  <si>
    <t xml:space="preserve">CR2025-0606</t>
  </si>
  <si>
    <t xml:space="preserve">015QB0-400</t>
  </si>
  <si>
    <t xml:space="preserve">Ahmad Bukhari Aujih</t>
  </si>
  <si>
    <t xml:space="preserve">Job Hazard Analysis (JHA) Verification System</t>
  </si>
  <si>
    <t xml:space="preserve">09/09/2025</t>
  </si>
  <si>
    <t xml:space="preserve">08/02/2026</t>
  </si>
  <si>
    <t xml:space="preserve">Otherwise</t>
  </si>
  <si>
    <t xml:space="preserve">Consultancy</t>
  </si>
  <si>
    <t xml:space="preserve">CR2025-0614</t>
  </si>
  <si>
    <t xml:space="preserve">015QB0-404</t>
  </si>
  <si>
    <t xml:space="preserve">NDE-READI Module Enhancement and Pilot Deployment</t>
  </si>
  <si>
    <t xml:space="preserve">30/09/2025</t>
  </si>
  <si>
    <t xml:space="preserve">CR2021-0082</t>
  </si>
  <si>
    <t xml:space="preserve">015QB0-079</t>
  </si>
  <si>
    <t xml:space="preserve">Sharizul Azlan Mohd Azizi</t>
  </si>
  <si>
    <t xml:space="preserve">Hitham Seddig Alhassan Alhussian .</t>
  </si>
  <si>
    <t xml:space="preserve">Predictive Analytic for Freespan (PrAnSpan) Phase 2 (Automation of Metocean Tensor)</t>
  </si>
  <si>
    <t xml:space="preserve">01/02/2021</t>
  </si>
  <si>
    <t xml:space="preserve">20/08/2021</t>
  </si>
  <si>
    <t xml:space="preserve">CR2023-0307</t>
  </si>
  <si>
    <t xml:space="preserve">015QA0-038</t>
  </si>
  <si>
    <t xml:space="preserve">i-CoRPA Phase 3 for PRefChem</t>
  </si>
  <si>
    <t xml:space="preserve">Contract Research</t>
  </si>
  <si>
    <t xml:space="preserve">31/05/2023</t>
  </si>
  <si>
    <t xml:space="preserve">15/11/2024</t>
  </si>
  <si>
    <t xml:space="preserve">CR-0451</t>
  </si>
  <si>
    <t xml:space="preserve">015QB0-296</t>
  </si>
  <si>
    <t xml:space="preserve">FEASIBILITY STUDY FOR ARTIFICIAL INTELLIGENCE (AI) TECHNOLOGY DEPLOYMENT FOR MARINE LOADING ARM (MLA) - PHASE 1</t>
  </si>
  <si>
    <t xml:space="preserve">05/07/2024</t>
  </si>
  <si>
    <t xml:space="preserve">28/04/2026</t>
  </si>
  <si>
    <t xml:space="preserve">CR-0453</t>
  </si>
  <si>
    <t xml:space="preserve">015QB0-308</t>
  </si>
  <si>
    <t xml:space="preserve">Yew Kwang Hooi</t>
  </si>
  <si>
    <t xml:space="preserve">Enhancement of AIIRA Analytics and Dashboard FY2024 (Data Contextualization Studies)</t>
  </si>
  <si>
    <t xml:space="preserve">09/07/2024</t>
  </si>
  <si>
    <t xml:space="preserve">31/12/2024</t>
  </si>
  <si>
    <t xml:space="preserve">CR-0632</t>
  </si>
  <si>
    <t xml:space="preserve">015QI0-A03</t>
  </si>
  <si>
    <t xml:space="preserve">Shuhaida Mohamed Shuhidan</t>
  </si>
  <si>
    <t xml:space="preserve">PETRONAS Production Loss Analytics (P2LA) Enhancement &amp; Deployment in Cloud Service</t>
  </si>
  <si>
    <t xml:space="preserve">15/12/2025</t>
  </si>
  <si>
    <t xml:space="preserve">12/06/2026</t>
  </si>
  <si>
    <t xml:space="preserve">CR2022-0173</t>
  </si>
  <si>
    <t xml:space="preserve">015QB0-145</t>
  </si>
  <si>
    <t xml:space="preserve">Intelligent Constructability Review (i-CR)</t>
  </si>
  <si>
    <t xml:space="preserve">01/04/2022</t>
  </si>
  <si>
    <t xml:space="preserve">30/09/2022</t>
  </si>
  <si>
    <t xml:space="preserve">CR2023-0377</t>
  </si>
  <si>
    <t xml:space="preserve">015QB0-271</t>
  </si>
  <si>
    <t xml:space="preserve">CFD Anaysis for E-4102A/B/C in relation to ammonium salt corrosion formation</t>
  </si>
  <si>
    <t xml:space="preserve">15/12/2023</t>
  </si>
  <si>
    <t xml:space="preserve">30/04/2024</t>
  </si>
  <si>
    <t xml:space="preserve">CR-0472</t>
  </si>
  <si>
    <t xml:space="preserve">015QB0-316</t>
  </si>
  <si>
    <t xml:space="preserve">Emelia Akashah Patah Akhir</t>
  </si>
  <si>
    <t xml:space="preserve">UTP SLA: IPSS Analytics Development by UTP Cerdas</t>
  </si>
  <si>
    <t xml:space="preserve">12/08/2024</t>
  </si>
  <si>
    <t xml:space="preserve">11/08/2025</t>
  </si>
  <si>
    <t xml:space="preserve">0153B2-E65</t>
  </si>
  <si>
    <t xml:space="preserve">Nurul Wahida Hood</t>
  </si>
  <si>
    <t xml:space="preserve">Institute of Autonomous System</t>
  </si>
  <si>
    <t xml:space="preserve">27/03/2017</t>
  </si>
  <si>
    <t xml:space="preserve">31/01/2019</t>
  </si>
  <si>
    <t xml:space="preserve">CR2023-0243</t>
  </si>
  <si>
    <t xml:space="preserve">015QB0-201</t>
  </si>
  <si>
    <t xml:space="preserve">Aliza Sarlan</t>
  </si>
  <si>
    <t xml:space="preserve">Petroliam Nasional Berhad (PETRONAS)</t>
  </si>
  <si>
    <t xml:space="preserve">Order1 for Project 2 UTP: Development of Security Analytics Programme for PETRONAS Group Security Project 2: Intelligence Learning System (Phase 1)</t>
  </si>
  <si>
    <t xml:space="preserve">06/01/2023</t>
  </si>
  <si>
    <t xml:space="preserve">05/07/2023</t>
  </si>
  <si>
    <t xml:space="preserve">CR2023-0252</t>
  </si>
  <si>
    <t xml:space="preserve">015QB0-196</t>
  </si>
  <si>
    <t xml:space="preserve">Mohd Hilmi Hasan</t>
  </si>
  <si>
    <t xml:space="preserve">Order1 for Project 3 UTP: Development of Security Analytics Programme for PETRONAS Group Security - REMOTE ALARM SYSTEM AT UNMANNED PLATFORM (Phase 1)</t>
  </si>
  <si>
    <t xml:space="preserve">CR-0676</t>
  </si>
  <si>
    <t xml:space="preserve">015QB0-444</t>
  </si>
  <si>
    <t xml:space="preserve">Benchmarking and Assessment Study for UAUC System Phase 0</t>
  </si>
  <si>
    <t xml:space="preserve">23/07/2026</t>
  </si>
  <si>
    <t xml:space="preserve">07/09/2026</t>
  </si>
  <si>
    <t xml:space="preserve">CR-0508</t>
  </si>
  <si>
    <t xml:space="preserve">015QB0-336</t>
  </si>
  <si>
    <t xml:space="preserve">Petronas Group Security</t>
  </si>
  <si>
    <t xml:space="preserve">INTEGRATED SECURITY TALENT RESOURCES SYTEM (i-STARS) GO-LIVE 2024</t>
  </si>
  <si>
    <t xml:space="preserve">01/11/2024</t>
  </si>
  <si>
    <t xml:space="preserve">31/10/2025</t>
  </si>
  <si>
    <t xml:space="preserve">Completed</t>
  </si>
  <si>
    <t xml:space="preserve">CR-0445</t>
  </si>
  <si>
    <t xml:space="preserve">015QB0-306</t>
  </si>
  <si>
    <t xml:space="preserve">NDE-READI Solution Enhancement and Deployment for 2024-2025 (Phase 4)</t>
  </si>
  <si>
    <t xml:space="preserve">02/07/2024</t>
  </si>
  <si>
    <t xml:space="preserve">02/02/2026</t>
  </si>
  <si>
    <t xml:space="preserve">CR-0559</t>
  </si>
  <si>
    <t xml:space="preserve">015QB0-367</t>
  </si>
  <si>
    <t xml:space="preserve">Provision of RT film digitizing services for NDE-READI deployment at PGB</t>
  </si>
  <si>
    <t xml:space="preserve">06/05/2025</t>
  </si>
  <si>
    <t xml:space="preserve">04/06/2025</t>
  </si>
  <si>
    <t xml:space="preserve">CR2024-0456</t>
  </si>
  <si>
    <t xml:space="preserve">015QB0-310</t>
  </si>
  <si>
    <t xml:space="preserve">Provision of RT film digitizing services for NDE- READI pilot deployment</t>
  </si>
  <si>
    <t xml:space="preserve">CR-0452</t>
  </si>
  <si>
    <t xml:space="preserve">015QB0-304</t>
  </si>
  <si>
    <t xml:space="preserve">NDE-READI: Provision of digital detector array radiographic testing (DDA RT) services for NDE-READI pilot deployment</t>
  </si>
  <si>
    <t xml:space="preserve">17/07/2024</t>
  </si>
  <si>
    <t xml:space="preserve">31/10/2024</t>
  </si>
  <si>
    <t xml:space="preserve">CR-0433</t>
  </si>
  <si>
    <t xml:space="preserve">015Qi0-A02</t>
  </si>
  <si>
    <t xml:space="preserve">PETRONAS Production Loss Analytics (P2LA) Enhancement - Machine Learning</t>
  </si>
  <si>
    <t xml:space="preserve">14/06/2024</t>
  </si>
  <si>
    <t xml:space="preserve">13/12/2024</t>
  </si>
  <si>
    <t xml:space="preserve">CR-0480</t>
  </si>
  <si>
    <t xml:space="preserve">015QB0-321</t>
  </si>
  <si>
    <t xml:space="preserve">Shakirah Mohd Taib</t>
  </si>
  <si>
    <t xml:space="preserve">Security Risk Assessment &amp; Analytics System (SRAAS) Phase II</t>
  </si>
  <si>
    <t xml:space="preserve">13/09/2024</t>
  </si>
  <si>
    <t xml:space="preserve">31/01/2025</t>
  </si>
  <si>
    <t xml:space="preserve">CR2023-0355</t>
  </si>
  <si>
    <t xml:space="preserve">015QB0-260</t>
  </si>
  <si>
    <t xml:space="preserve">Zazilah May</t>
  </si>
  <si>
    <t xml:space="preserve">IDNA Training and Consulting</t>
  </si>
  <si>
    <t xml:space="preserve">Leak Detection in Water Distribution Networks Using Acoustic Emission Sensors</t>
  </si>
  <si>
    <t xml:space="preserve">04/12/2023</t>
  </si>
  <si>
    <t xml:space="preserve">19/12/2023</t>
  </si>
  <si>
    <t xml:space="preserve">CR2023-0314</t>
  </si>
  <si>
    <t xml:space="preserve">015QB0-242</t>
  </si>
  <si>
    <t xml:space="preserve">Nur Syafiqah Mohamad Nasir</t>
  </si>
  <si>
    <t xml:space="preserve">GUSA Automation</t>
  </si>
  <si>
    <t xml:space="preserve">24/08/2023</t>
  </si>
  <si>
    <t xml:space="preserve">31/12/2023</t>
  </si>
  <si>
    <t xml:space="preserve">CR2023-0306</t>
  </si>
  <si>
    <t xml:space="preserve">015QB0-236</t>
  </si>
  <si>
    <t xml:space="preserve">FEASIBILITY STUDY FOR ARTIFICIAL INTELLIGENCE (AI) TECHNOLOGY DEPLOYMENT FOR MARINE LOADING ARM</t>
  </si>
  <si>
    <t xml:space="preserve">31/07/2023</t>
  </si>
  <si>
    <t xml:space="preserve">28/11/2023</t>
  </si>
  <si>
    <t xml:space="preserve">CR2023-0313</t>
  </si>
  <si>
    <t xml:space="preserve">015QB0-241</t>
  </si>
  <si>
    <t xml:space="preserve">Nurul Aida Osman</t>
  </si>
  <si>
    <t xml:space="preserve">MACHINE LEARNING APPLICATION FOR GEOTECHNICAL ENGINEERING</t>
  </si>
  <si>
    <t xml:space="preserve">18/09/2023</t>
  </si>
  <si>
    <t xml:space="preserve">16/02/2024</t>
  </si>
  <si>
    <t xml:space="preserve">CR2024-0479</t>
  </si>
  <si>
    <t xml:space="preserve">015QB0-320</t>
  </si>
  <si>
    <t xml:space="preserve">OPTIMUS (MVP 2):OPERATIONAL REQUIREMENT</t>
  </si>
  <si>
    <t xml:space="preserve">27/08/2024</t>
  </si>
  <si>
    <t xml:space="preserve">27/01/2025</t>
  </si>
  <si>
    <t xml:space="preserve">CR2023-0330</t>
  </si>
  <si>
    <t xml:space="preserve">015QB0-255</t>
  </si>
  <si>
    <t xml:space="preserve">Predictive Model Enhancement for Naphthenic Acid Corrosion (NAC)</t>
  </si>
  <si>
    <t xml:space="preserve">02/10/2023</t>
  </si>
  <si>
    <t xml:space="preserve">16/12/2023</t>
  </si>
  <si>
    <t xml:space="preserve">CR2023-0299</t>
  </si>
  <si>
    <t xml:space="preserve">015QB0-235</t>
  </si>
  <si>
    <t xml:space="preserve">Ahmad Izuddin Zainal Abidin</t>
  </si>
  <si>
    <t xml:space="preserve">SCSSV Reliability Improvement Project</t>
  </si>
  <si>
    <t xml:space="preserve">01/08/2023</t>
  </si>
  <si>
    <t xml:space="preserve">30/11/2023</t>
  </si>
  <si>
    <t xml:space="preserve">CR2023-0242</t>
  </si>
  <si>
    <t xml:space="preserve">015QB0-200</t>
  </si>
  <si>
    <t xml:space="preserve">Order1 for Project 1 UTP: Development of Security Analytics Programme for PETRONAS Group Security Project 1 - Security Risk Assessment &amp; Research/Alert Analytics Application (Phase 1)</t>
  </si>
  <si>
    <t xml:space="preserve">05/01/2023</t>
  </si>
  <si>
    <t xml:space="preserve">CR2020-0074</t>
  </si>
  <si>
    <t xml:space="preserve">015QB0-075</t>
  </si>
  <si>
    <t xml:space="preserve">ELSOR Software Upgrade to Network License</t>
  </si>
  <si>
    <t xml:space="preserve">15/11/2020</t>
  </si>
  <si>
    <t xml:space="preserve">31/07/2021</t>
  </si>
  <si>
    <t xml:space="preserve">CR2022-0220</t>
  </si>
  <si>
    <t xml:space="preserve">015QB0-177</t>
  </si>
  <si>
    <t xml:space="preserve">Oder 1 for OPTIMUS (MVP 2): Data Analytics for Operational REQ</t>
  </si>
  <si>
    <t xml:space="preserve">18/10/2022</t>
  </si>
  <si>
    <t xml:space="preserve">31/12/2022</t>
  </si>
  <si>
    <t xml:space="preserve">CR2023-0288</t>
  </si>
  <si>
    <t xml:space="preserve">015QB0-221</t>
  </si>
  <si>
    <t xml:space="preserve">PETRONAS Production Loss Analytics (P2LA) Phase 2 Development</t>
  </si>
  <si>
    <t xml:space="preserve">14/07/2023</t>
  </si>
  <si>
    <t xml:space="preserve">CR2023-0310</t>
  </si>
  <si>
    <t xml:space="preserve">015QB0-239</t>
  </si>
  <si>
    <t xml:space="preserve">NDE-READI Deployment for IBO Project and Maintenance</t>
  </si>
  <si>
    <t xml:space="preserve">17/09/2024</t>
  </si>
  <si>
    <t xml:space="preserve">CR2021-0135</t>
  </si>
  <si>
    <t xml:space="preserve">015QB0-117</t>
  </si>
  <si>
    <t xml:space="preserve">Pipe Failure Prediction In Water Distribution System</t>
  </si>
  <si>
    <t xml:space="preserve">15/11/2021</t>
  </si>
  <si>
    <t xml:space="preserve">14/12/2021</t>
  </si>
  <si>
    <t xml:space="preserve">CR2021-0119</t>
  </si>
  <si>
    <t xml:space="preserve">015QB0-105</t>
  </si>
  <si>
    <t xml:space="preserve">PETRONAS Gas Berhad</t>
  </si>
  <si>
    <t xml:space="preserve">Risk-Based Predictive Analytic Tool to Address The Atmospheric Corrosion Using Artificial Intelligence Techniques</t>
  </si>
  <si>
    <t xml:space="preserve">06/09/2021</t>
  </si>
  <si>
    <t xml:space="preserve">05/04/2022</t>
  </si>
  <si>
    <t xml:space="preserve">CR2021-0117</t>
  </si>
  <si>
    <t xml:space="preserve">015QB0-103</t>
  </si>
  <si>
    <t xml:space="preserve">Predictive Analytics Pipeline/Piping Weldment (PrAnWeld+) Phase 1- Radiography Test (RT)</t>
  </si>
  <si>
    <t xml:space="preserve">16/08/2021</t>
  </si>
  <si>
    <t xml:space="preserve">015QA0-018</t>
  </si>
  <si>
    <t xml:space="preserve">Jafreezal Jaafar</t>
  </si>
  <si>
    <t xml:space="preserve">PETRONAS Carigali Sdn Bhd</t>
  </si>
  <si>
    <t xml:space="preserve">Provision of Research and Development of Artificial Intelligent Monitoring and Prediction for PETRONAS Carigali Sdn Bhd</t>
  </si>
  <si>
    <t xml:space="preserve">24/01/2019</t>
  </si>
  <si>
    <t xml:space="preserve">23/01/2020</t>
  </si>
  <si>
    <t xml:space="preserve">015QB0-052</t>
  </si>
  <si>
    <t xml:space="preserve">Free Span Predictive Analytics for PCSB</t>
  </si>
  <si>
    <t xml:space="preserve">15/11/2019</t>
  </si>
  <si>
    <t xml:space="preserve">15/08/2020</t>
  </si>
  <si>
    <t xml:space="preserve">015QB0-033</t>
  </si>
  <si>
    <t xml:space="preserve">Corrosion Predictive Analytics for PCSB SBA &amp; PGB</t>
  </si>
  <si>
    <t xml:space="preserve">25/04/2019</t>
  </si>
  <si>
    <t xml:space="preserve">30/04/2020</t>
  </si>
  <si>
    <t xml:space="preserve">CR2022-0202</t>
  </si>
  <si>
    <t xml:space="preserve">015QB0-164</t>
  </si>
  <si>
    <t xml:space="preserve">Data-Driven Predictive Model for Naphthenic Acid Corrosion (NAC)</t>
  </si>
  <si>
    <t xml:space="preserve">01/09/2022</t>
  </si>
  <si>
    <t xml:space="preserve">15/12/2022</t>
  </si>
  <si>
    <t xml:space="preserve">CR2022-0224</t>
  </si>
  <si>
    <t xml:space="preserve">015QB0-180</t>
  </si>
  <si>
    <t xml:space="preserve">Pipe Failure Prediction in Water Distribution System _Phase 2 Failure Prediction Model</t>
  </si>
  <si>
    <t xml:space="preserve">21/11/2022</t>
  </si>
  <si>
    <t xml:space="preserve">CR2022-0194</t>
  </si>
  <si>
    <t xml:space="preserve">015QB0-159</t>
  </si>
  <si>
    <t xml:space="preserve">NDE-READI (Record Analysis &amp; Digitalization) for Inspection Data</t>
  </si>
  <si>
    <t xml:space="preserve">15/07/2022</t>
  </si>
  <si>
    <t xml:space="preserve">28/04/2023</t>
  </si>
  <si>
    <t xml:space="preserve">CR2021-0078</t>
  </si>
  <si>
    <t xml:space="preserve">015QA0-036</t>
  </si>
  <si>
    <t xml:space="preserve">Intelligent Constructability Review (i-CR) - Phase 2</t>
  </si>
  <si>
    <t xml:space="preserve">01/01/2021</t>
  </si>
  <si>
    <t xml:space="preserve">31/08/2021</t>
  </si>
  <si>
    <t xml:space="preserve">CR2020-0069</t>
  </si>
  <si>
    <t xml:space="preserve">015QA0-035</t>
  </si>
  <si>
    <t xml:space="preserve">Development of Intelligent Corrosion Predictive Tool for PRefChem</t>
  </si>
  <si>
    <t xml:space="preserve">14/09/2020</t>
  </si>
  <si>
    <t xml:space="preserve">31/12/2020</t>
  </si>
  <si>
    <t xml:space="preserve">CR2020-0057</t>
  </si>
  <si>
    <t xml:space="preserve">015QA0-029</t>
  </si>
  <si>
    <t xml:space="preserve">01/09/2020</t>
  </si>
  <si>
    <t xml:space="preserve">015QA0-024</t>
  </si>
  <si>
    <t xml:space="preserve">Provision of Material, Corrosion &amp; Inspection (MCI) Consultancy Services to develop Intelligent Corrosion Predictive Tools for PRECHEM under PTSSB</t>
  </si>
  <si>
    <t xml:space="preserve">03/04/2020</t>
  </si>
  <si>
    <t xml:space="preserve">31/07/2020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</si>
</sst>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Q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125" defaultRowHeight="14.25" zeroHeight="false" outlineLevelRow="0" outlineLevelCol="0"/>
  <cols>
    <col collapsed="false" customWidth="true" hidden="false" outlineLevel="0" max="2" min="2" style="1" width="8.72"/>
    <col collapsed="false" customWidth="true" hidden="false" outlineLevel="0" max="4" min="3" style="2" width="10.72"/>
    <col collapsed="false" customWidth="true" hidden="false" outlineLevel="0" max="5" min="5" style="0" width="21.45"/>
    <col collapsed="false" customWidth="true" hidden="false" outlineLevel="0" max="6" min="6" style="0" width="21.82"/>
    <col collapsed="false" customWidth="true" hidden="false" outlineLevel="0" max="7" min="7" style="2" width="13.73"/>
    <col collapsed="false" customWidth="true" hidden="false" outlineLevel="0" max="8" min="8" style="2" width="35.27"/>
    <col collapsed="false" customWidth="true" hidden="false" outlineLevel="0" max="9" min="9" style="0" width="13.82"/>
    <col collapsed="false" customWidth="true" hidden="false" outlineLevel="0" max="10" min="10" style="0" width="12.82"/>
    <col collapsed="false" customWidth="true" hidden="false" outlineLevel="0" max="12" min="12" style="0" width="15.63"/>
    <col collapsed="false" customWidth="true" hidden="false" outlineLevel="0" max="13" min="13" style="3" width="14.36"/>
    <col collapsed="false" customWidth="true" hidden="false" outlineLevel="0" max="14" min="14" style="0" width="17"/>
    <col collapsed="false" customWidth="true" hidden="false" outlineLevel="0" max="16" min="16" style="0" width="24"/>
    <col collapsed="false" customWidth="true" hidden="false" outlineLevel="0" max="17" min="17" style="0" width="13"/>
  </cols>
  <sheetData>
    <row r="3" s="2" customFormat="true" ht="43.5" hidden="false" customHeight="true" outlineLevel="0" collapsed="false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4" t="s">
        <v>10</v>
      </c>
      <c r="M3" s="5" t="s">
        <v>11</v>
      </c>
      <c r="N3" s="5" t="s">
        <v>12</v>
      </c>
      <c r="P3" s="5" t="s">
        <v>13</v>
      </c>
      <c r="Q3" s="5" t="s">
        <v>14</v>
      </c>
    </row>
    <row r="4" customFormat="false" ht="57.75" hidden="false" customHeight="true" outlineLevel="0" collapsed="false">
      <c r="B4" s="6" t="n">
        <v>1</v>
      </c>
      <c r="C4" s="5" t="s">
        <v>15</v>
      </c>
      <c r="D4" s="5" t="s">
        <v>16</v>
      </c>
      <c r="E4" s="7" t="s">
        <v>17</v>
      </c>
      <c r="F4" s="7" t="s">
        <v>18</v>
      </c>
      <c r="G4" s="5" t="s">
        <v>19</v>
      </c>
      <c r="H4" s="5" t="s">
        <v>20</v>
      </c>
      <c r="I4" s="7" t="s">
        <v>21</v>
      </c>
      <c r="J4" s="7" t="s">
        <v>22</v>
      </c>
      <c r="K4" s="7" t="s">
        <v>23</v>
      </c>
      <c r="L4" s="4" t="n">
        <v>791640</v>
      </c>
      <c r="M4" s="7" t="s">
        <v>24</v>
      </c>
      <c r="N4" s="7" t="str">
        <f aca="false">IF(L4&gt;$Q$5,"Flagship Project",IF(L4&gt;$Q$4,"Project","Consultancy"))</f>
        <v>Project</v>
      </c>
      <c r="P4" s="7" t="s">
        <v>25</v>
      </c>
      <c r="Q4" s="8" t="n">
        <v>250000</v>
      </c>
    </row>
    <row r="5" customFormat="false" ht="57.75" hidden="false" customHeight="true" outlineLevel="0" collapsed="false">
      <c r="B5" s="6" t="n">
        <v>2</v>
      </c>
      <c r="C5" s="5" t="s">
        <v>26</v>
      </c>
      <c r="D5" s="5" t="s">
        <v>27</v>
      </c>
      <c r="E5" s="7" t="s">
        <v>17</v>
      </c>
      <c r="F5" s="7" t="s">
        <v>28</v>
      </c>
      <c r="G5" s="5" t="s">
        <v>19</v>
      </c>
      <c r="H5" s="5" t="s">
        <v>29</v>
      </c>
      <c r="I5" s="7" t="s">
        <v>21</v>
      </c>
      <c r="J5" s="7" t="s">
        <v>30</v>
      </c>
      <c r="K5" s="7" t="s">
        <v>31</v>
      </c>
      <c r="L5" s="4" t="n">
        <v>820496.47</v>
      </c>
      <c r="M5" s="7" t="s">
        <v>24</v>
      </c>
      <c r="N5" s="7" t="str">
        <f aca="false">IF(L5&gt;$Q$5,"Flagship Project",IF(L5&gt;$Q$4,"Project","Consultancy"))</f>
        <v>Project</v>
      </c>
      <c r="P5" s="7" t="s">
        <v>32</v>
      </c>
      <c r="Q5" s="8" t="n">
        <v>1000000</v>
      </c>
    </row>
    <row r="6" customFormat="false" ht="57.75" hidden="false" customHeight="true" outlineLevel="0" collapsed="false">
      <c r="B6" s="6" t="n">
        <v>3</v>
      </c>
      <c r="C6" s="5" t="s">
        <v>33</v>
      </c>
      <c r="D6" s="5" t="s">
        <v>34</v>
      </c>
      <c r="E6" s="7" t="s">
        <v>17</v>
      </c>
      <c r="F6" s="7" t="s">
        <v>35</v>
      </c>
      <c r="G6" s="5" t="s">
        <v>19</v>
      </c>
      <c r="H6" s="5" t="s">
        <v>36</v>
      </c>
      <c r="I6" s="7" t="s">
        <v>21</v>
      </c>
      <c r="J6" s="7" t="s">
        <v>37</v>
      </c>
      <c r="K6" s="7" t="s">
        <v>38</v>
      </c>
      <c r="L6" s="4" t="n">
        <v>331462.87</v>
      </c>
      <c r="M6" s="7" t="s">
        <v>24</v>
      </c>
      <c r="N6" s="7" t="str">
        <f aca="false">IF(L6&gt;$Q$5,"Flagship Project",IF(L6&gt;$Q$4,"Project","Consultancy"))</f>
        <v>Project</v>
      </c>
      <c r="P6" s="7" t="s">
        <v>39</v>
      </c>
      <c r="Q6" s="7" t="s">
        <v>40</v>
      </c>
    </row>
    <row r="7" customFormat="false" ht="57.75" hidden="false" customHeight="true" outlineLevel="0" collapsed="false">
      <c r="B7" s="6" t="n">
        <v>4</v>
      </c>
      <c r="C7" s="5" t="s">
        <v>41</v>
      </c>
      <c r="D7" s="5" t="s">
        <v>42</v>
      </c>
      <c r="E7" s="7" t="s">
        <v>17</v>
      </c>
      <c r="F7" s="7" t="s">
        <v>28</v>
      </c>
      <c r="G7" s="5" t="s">
        <v>19</v>
      </c>
      <c r="H7" s="5" t="s">
        <v>43</v>
      </c>
      <c r="I7" s="7" t="s">
        <v>21</v>
      </c>
      <c r="J7" s="7" t="s">
        <v>44</v>
      </c>
      <c r="K7" s="7" t="s">
        <v>31</v>
      </c>
      <c r="L7" s="4" t="n">
        <v>400000</v>
      </c>
      <c r="M7" s="7" t="s">
        <v>24</v>
      </c>
      <c r="N7" s="7" t="str">
        <f aca="false">IF(L7&gt;$Q$5,"Flagship Project",IF(L7&gt;$Q$4,"Project","Consultancy"))</f>
        <v>Project</v>
      </c>
    </row>
    <row r="8" customFormat="false" ht="57.75" hidden="false" customHeight="true" outlineLevel="0" collapsed="false">
      <c r="B8" s="6" t="n">
        <v>5</v>
      </c>
      <c r="C8" s="5" t="s">
        <v>45</v>
      </c>
      <c r="D8" s="5" t="s">
        <v>46</v>
      </c>
      <c r="E8" s="7" t="s">
        <v>47</v>
      </c>
      <c r="F8" s="7" t="s">
        <v>48</v>
      </c>
      <c r="G8" s="5" t="s">
        <v>19</v>
      </c>
      <c r="H8" s="5" t="s">
        <v>49</v>
      </c>
      <c r="I8" s="7" t="s">
        <v>21</v>
      </c>
      <c r="J8" s="7" t="s">
        <v>50</v>
      </c>
      <c r="K8" s="7" t="s">
        <v>51</v>
      </c>
      <c r="L8" s="4" t="n">
        <v>608501.23</v>
      </c>
      <c r="M8" s="7" t="s">
        <v>24</v>
      </c>
      <c r="N8" s="7" t="str">
        <f aca="false">IF(L8&gt;$Q$5,"Flagship Project",IF(L8&gt;$Q$4,"Project","Consultancy"))</f>
        <v>Project</v>
      </c>
    </row>
    <row r="9" customFormat="false" ht="57.75" hidden="false" customHeight="true" outlineLevel="0" collapsed="false">
      <c r="B9" s="6" t="n">
        <v>6</v>
      </c>
      <c r="C9" s="5" t="s">
        <v>52</v>
      </c>
      <c r="D9" s="5" t="s">
        <v>53</v>
      </c>
      <c r="E9" s="7" t="s">
        <v>17</v>
      </c>
      <c r="F9" s="7" t="s">
        <v>18</v>
      </c>
      <c r="G9" s="5" t="s">
        <v>19</v>
      </c>
      <c r="H9" s="5" t="s">
        <v>54</v>
      </c>
      <c r="I9" s="7" t="s">
        <v>55</v>
      </c>
      <c r="J9" s="7" t="s">
        <v>56</v>
      </c>
      <c r="K9" s="7" t="s">
        <v>57</v>
      </c>
      <c r="L9" s="4" t="n">
        <v>1421920</v>
      </c>
      <c r="M9" s="7" t="s">
        <v>24</v>
      </c>
      <c r="N9" s="7" t="str">
        <f aca="false">IF(L9&gt;$Q$5,"Flagship Project",IF(L9&gt;$Q$4,"Project","Consultancy"))</f>
        <v>Flagship Project</v>
      </c>
    </row>
    <row r="10" customFormat="false" ht="57.75" hidden="false" customHeight="true" outlineLevel="0" collapsed="false">
      <c r="B10" s="6" t="n">
        <v>7</v>
      </c>
      <c r="C10" s="5" t="s">
        <v>58</v>
      </c>
      <c r="D10" s="5" t="s">
        <v>59</v>
      </c>
      <c r="E10" s="7" t="s">
        <v>17</v>
      </c>
      <c r="F10" s="7" t="s">
        <v>48</v>
      </c>
      <c r="G10" s="5" t="s">
        <v>19</v>
      </c>
      <c r="H10" s="5" t="s">
        <v>60</v>
      </c>
      <c r="I10" s="7" t="s">
        <v>21</v>
      </c>
      <c r="J10" s="7" t="s">
        <v>61</v>
      </c>
      <c r="K10" s="7" t="s">
        <v>62</v>
      </c>
      <c r="L10" s="4" t="n">
        <v>532556.37</v>
      </c>
      <c r="M10" s="7" t="s">
        <v>24</v>
      </c>
      <c r="N10" s="7" t="str">
        <f aca="false">IF(L10&gt;$Q$5,"Flagship Project",IF(L10&gt;$Q$4,"Project","Consultancy"))</f>
        <v>Project</v>
      </c>
    </row>
    <row r="11" customFormat="false" ht="57.75" hidden="false" customHeight="true" outlineLevel="0" collapsed="false">
      <c r="B11" s="6" t="n">
        <v>8</v>
      </c>
      <c r="C11" s="5" t="s">
        <v>63</v>
      </c>
      <c r="D11" s="5" t="s">
        <v>64</v>
      </c>
      <c r="E11" s="7" t="s">
        <v>17</v>
      </c>
      <c r="F11" s="7" t="s">
        <v>65</v>
      </c>
      <c r="G11" s="5" t="s">
        <v>19</v>
      </c>
      <c r="H11" s="5" t="s">
        <v>66</v>
      </c>
      <c r="I11" s="7" t="s">
        <v>21</v>
      </c>
      <c r="J11" s="7" t="s">
        <v>67</v>
      </c>
      <c r="K11" s="7" t="s">
        <v>68</v>
      </c>
      <c r="L11" s="4" t="n">
        <v>99360</v>
      </c>
      <c r="M11" s="7" t="s">
        <v>24</v>
      </c>
      <c r="N11" s="7" t="str">
        <f aca="false">IF(L11&gt;$Q$5,"Flagship Project",IF(L11&gt;$Q$4,"Project","Consultancy"))</f>
        <v>Consultancy</v>
      </c>
    </row>
    <row r="12" customFormat="false" ht="57.75" hidden="false" customHeight="true" outlineLevel="0" collapsed="false">
      <c r="B12" s="6" t="n">
        <v>10</v>
      </c>
      <c r="C12" s="5" t="s">
        <v>69</v>
      </c>
      <c r="D12" s="5" t="s">
        <v>70</v>
      </c>
      <c r="E12" s="7" t="s">
        <v>17</v>
      </c>
      <c r="F12" s="7" t="s">
        <v>71</v>
      </c>
      <c r="G12" s="5" t="s">
        <v>19</v>
      </c>
      <c r="H12" s="5" t="s">
        <v>72</v>
      </c>
      <c r="I12" s="7" t="s">
        <v>21</v>
      </c>
      <c r="J12" s="7" t="s">
        <v>73</v>
      </c>
      <c r="K12" s="7" t="s">
        <v>74</v>
      </c>
      <c r="L12" s="4" t="n">
        <v>121500</v>
      </c>
      <c r="M12" s="7" t="s">
        <v>24</v>
      </c>
      <c r="N12" s="7" t="str">
        <f aca="false">IF(L12&gt;$Q$5,"Flagship Project",IF(L12&gt;$Q$4,"Project","Consultancy"))</f>
        <v>Consultancy</v>
      </c>
    </row>
    <row r="13" customFormat="false" ht="57.75" hidden="false" customHeight="true" outlineLevel="0" collapsed="false">
      <c r="B13" s="6" t="n">
        <v>11</v>
      </c>
      <c r="C13" s="5" t="s">
        <v>75</v>
      </c>
      <c r="D13" s="5" t="s">
        <v>76</v>
      </c>
      <c r="E13" s="7" t="s">
        <v>17</v>
      </c>
      <c r="F13" s="7" t="s">
        <v>65</v>
      </c>
      <c r="G13" s="5" t="s">
        <v>19</v>
      </c>
      <c r="H13" s="5" t="s">
        <v>77</v>
      </c>
      <c r="I13" s="7" t="s">
        <v>21</v>
      </c>
      <c r="J13" s="7" t="s">
        <v>78</v>
      </c>
      <c r="K13" s="7" t="s">
        <v>79</v>
      </c>
      <c r="L13" s="4" t="n">
        <v>96814.04</v>
      </c>
      <c r="M13" s="7" t="s">
        <v>24</v>
      </c>
      <c r="N13" s="7" t="str">
        <f aca="false">IF(L13&gt;$Q$5,"Flagship Project",IF(L13&gt;$Q$4,"Project","Consultancy"))</f>
        <v>Consultancy</v>
      </c>
    </row>
    <row r="14" customFormat="false" ht="57.75" hidden="false" customHeight="true" outlineLevel="0" collapsed="false">
      <c r="B14" s="6" t="n">
        <v>12</v>
      </c>
      <c r="C14" s="5" t="s">
        <v>80</v>
      </c>
      <c r="D14" s="5" t="s">
        <v>81</v>
      </c>
      <c r="E14" s="7" t="s">
        <v>17</v>
      </c>
      <c r="F14" s="7" t="s">
        <v>18</v>
      </c>
      <c r="G14" s="5" t="s">
        <v>19</v>
      </c>
      <c r="H14" s="5" t="s">
        <v>82</v>
      </c>
      <c r="I14" s="7" t="s">
        <v>21</v>
      </c>
      <c r="J14" s="7" t="s">
        <v>83</v>
      </c>
      <c r="K14" s="7" t="s">
        <v>84</v>
      </c>
      <c r="L14" s="4" t="n">
        <v>239475.2</v>
      </c>
      <c r="M14" s="7" t="s">
        <v>24</v>
      </c>
      <c r="N14" s="7" t="str">
        <f aca="false">IF(L14&gt;$Q$5,"Flagship Project",IF(L14&gt;$Q$4,"Project","Consultancy"))</f>
        <v>Consultancy</v>
      </c>
    </row>
    <row r="15" customFormat="false" ht="57.75" hidden="false" customHeight="true" outlineLevel="0" collapsed="false">
      <c r="B15" s="6" t="n">
        <v>13</v>
      </c>
      <c r="C15" s="5" t="s">
        <v>85</v>
      </c>
      <c r="D15" s="5" t="s">
        <v>86</v>
      </c>
      <c r="E15" s="7" t="s">
        <v>17</v>
      </c>
      <c r="F15" s="7" t="s">
        <v>87</v>
      </c>
      <c r="G15" s="5" t="s">
        <v>19</v>
      </c>
      <c r="H15" s="5" t="s">
        <v>88</v>
      </c>
      <c r="I15" s="7" t="s">
        <v>21</v>
      </c>
      <c r="J15" s="7" t="s">
        <v>89</v>
      </c>
      <c r="K15" s="7" t="s">
        <v>90</v>
      </c>
      <c r="L15" s="4" t="n">
        <v>447120</v>
      </c>
      <c r="M15" s="7" t="s">
        <v>24</v>
      </c>
      <c r="N15" s="7" t="str">
        <f aca="false">IF(L15&gt;$Q$5,"Flagship Project",IF(L15&gt;$Q$4,"Project","Consultancy"))</f>
        <v>Project</v>
      </c>
    </row>
    <row r="16" customFormat="false" ht="57.75" hidden="false" customHeight="true" outlineLevel="0" collapsed="false">
      <c r="B16" s="6" t="n">
        <v>14</v>
      </c>
      <c r="C16" s="5" t="s">
        <v>91</v>
      </c>
      <c r="D16" s="5" t="s">
        <v>91</v>
      </c>
      <c r="E16" s="7" t="s">
        <v>92</v>
      </c>
      <c r="F16" s="7" t="s">
        <v>65</v>
      </c>
      <c r="G16" s="5" t="s">
        <v>19</v>
      </c>
      <c r="H16" s="5" t="s">
        <v>93</v>
      </c>
      <c r="I16" s="7"/>
      <c r="J16" s="7" t="s">
        <v>94</v>
      </c>
      <c r="K16" s="7" t="s">
        <v>95</v>
      </c>
      <c r="L16" s="4" t="n">
        <v>264874.92</v>
      </c>
      <c r="M16" s="7" t="s">
        <v>24</v>
      </c>
      <c r="N16" s="7" t="str">
        <f aca="false">IF(L16&gt;$Q$5,"Flagship Project",IF(L16&gt;$Q$4,"Project","Consultancy"))</f>
        <v>Project</v>
      </c>
    </row>
    <row r="17" customFormat="false" ht="57.75" hidden="false" customHeight="true" outlineLevel="0" collapsed="false">
      <c r="B17" s="6" t="n">
        <v>15</v>
      </c>
      <c r="C17" s="5" t="s">
        <v>96</v>
      </c>
      <c r="D17" s="5" t="s">
        <v>97</v>
      </c>
      <c r="E17" s="7" t="s">
        <v>47</v>
      </c>
      <c r="F17" s="7" t="s">
        <v>98</v>
      </c>
      <c r="G17" s="5" t="s">
        <v>99</v>
      </c>
      <c r="H17" s="5" t="s">
        <v>100</v>
      </c>
      <c r="I17" s="7" t="s">
        <v>21</v>
      </c>
      <c r="J17" s="7" t="s">
        <v>101</v>
      </c>
      <c r="K17" s="7" t="s">
        <v>102</v>
      </c>
      <c r="L17" s="4" t="n">
        <v>318000</v>
      </c>
      <c r="M17" s="7" t="s">
        <v>24</v>
      </c>
      <c r="N17" s="7" t="str">
        <f aca="false">IF(L17&gt;$Q$5,"Flagship Project",IF(L17&gt;$Q$4,"Project","Consultancy"))</f>
        <v>Project</v>
      </c>
    </row>
    <row r="18" customFormat="false" ht="72" hidden="false" customHeight="true" outlineLevel="0" collapsed="false">
      <c r="B18" s="6" t="n">
        <v>16</v>
      </c>
      <c r="C18" s="5" t="s">
        <v>103</v>
      </c>
      <c r="D18" s="5" t="s">
        <v>104</v>
      </c>
      <c r="E18" s="7" t="s">
        <v>47</v>
      </c>
      <c r="F18" s="7" t="s">
        <v>105</v>
      </c>
      <c r="G18" s="5" t="s">
        <v>99</v>
      </c>
      <c r="H18" s="5" t="s">
        <v>106</v>
      </c>
      <c r="I18" s="7" t="s">
        <v>21</v>
      </c>
      <c r="J18" s="7" t="s">
        <v>101</v>
      </c>
      <c r="K18" s="7" t="s">
        <v>102</v>
      </c>
      <c r="L18" s="4" t="n">
        <v>477000</v>
      </c>
      <c r="M18" s="7" t="s">
        <v>24</v>
      </c>
      <c r="N18" s="7" t="str">
        <f aca="false">IF(L18&gt;$Q$5,"Flagship Project",IF(L18&gt;$Q$4,"Project","Consultancy"))</f>
        <v>Project</v>
      </c>
    </row>
    <row r="19" customFormat="false" ht="57.75" hidden="false" customHeight="true" outlineLevel="0" collapsed="false">
      <c r="B19" s="6" t="n">
        <v>17</v>
      </c>
      <c r="C19" s="5" t="s">
        <v>107</v>
      </c>
      <c r="D19" s="5" t="s">
        <v>108</v>
      </c>
      <c r="E19" s="7" t="s">
        <v>17</v>
      </c>
      <c r="F19" s="7" t="s">
        <v>87</v>
      </c>
      <c r="G19" s="5" t="s">
        <v>19</v>
      </c>
      <c r="H19" s="5" t="s">
        <v>109</v>
      </c>
      <c r="I19" s="7" t="s">
        <v>21</v>
      </c>
      <c r="J19" s="7" t="s">
        <v>110</v>
      </c>
      <c r="K19" s="7" t="s">
        <v>111</v>
      </c>
      <c r="L19" s="4" t="n">
        <v>48704.72</v>
      </c>
      <c r="M19" s="7" t="s">
        <v>24</v>
      </c>
      <c r="N19" s="7" t="str">
        <f aca="false">IF(L19&gt;$Q$5,"Flagship Project",IF(L19&gt;$Q$4,"Project","Consultancy"))</f>
        <v>Consultancy</v>
      </c>
    </row>
    <row r="20" customFormat="false" ht="43.5" hidden="false" customHeight="true" outlineLevel="0" collapsed="false">
      <c r="B20" s="6" t="n">
        <v>18</v>
      </c>
      <c r="C20" s="5" t="s">
        <v>112</v>
      </c>
      <c r="D20" s="5" t="s">
        <v>113</v>
      </c>
      <c r="E20" s="7" t="s">
        <v>17</v>
      </c>
      <c r="F20" s="7" t="s">
        <v>98</v>
      </c>
      <c r="G20" s="5" t="s">
        <v>114</v>
      </c>
      <c r="H20" s="5" t="s">
        <v>115</v>
      </c>
      <c r="I20" s="7" t="s">
        <v>21</v>
      </c>
      <c r="J20" s="7" t="s">
        <v>116</v>
      </c>
      <c r="K20" s="7" t="s">
        <v>117</v>
      </c>
      <c r="L20" s="4" t="n">
        <v>248400</v>
      </c>
      <c r="M20" s="7" t="s">
        <v>118</v>
      </c>
      <c r="N20" s="7" t="str">
        <f aca="false">IF(L20&gt;$Q$5,"Flagship Project",IF(L20&gt;$Q$4,"Project","Consultancy"))</f>
        <v>Consultancy</v>
      </c>
    </row>
    <row r="21" customFormat="false" ht="57.75" hidden="false" customHeight="true" outlineLevel="0" collapsed="false">
      <c r="B21" s="6" t="n">
        <v>19</v>
      </c>
      <c r="C21" s="5" t="s">
        <v>119</v>
      </c>
      <c r="D21" s="5" t="s">
        <v>120</v>
      </c>
      <c r="E21" s="7" t="s">
        <v>17</v>
      </c>
      <c r="F21" s="7" t="s">
        <v>28</v>
      </c>
      <c r="G21" s="5" t="s">
        <v>19</v>
      </c>
      <c r="H21" s="5" t="s">
        <v>121</v>
      </c>
      <c r="I21" s="7" t="s">
        <v>21</v>
      </c>
      <c r="J21" s="7" t="s">
        <v>122</v>
      </c>
      <c r="K21" s="7" t="s">
        <v>123</v>
      </c>
      <c r="L21" s="4" t="n">
        <v>818478.13</v>
      </c>
      <c r="M21" s="7" t="s">
        <v>118</v>
      </c>
      <c r="N21" s="7" t="str">
        <f aca="false">IF(L21&gt;$Q$5,"Flagship Project",IF(L21&gt;$Q$4,"Project","Consultancy"))</f>
        <v>Project</v>
      </c>
    </row>
    <row r="22" customFormat="false" ht="57.75" hidden="false" customHeight="true" outlineLevel="0" collapsed="false">
      <c r="B22" s="6" t="n">
        <v>20</v>
      </c>
      <c r="C22" s="5" t="s">
        <v>124</v>
      </c>
      <c r="D22" s="5" t="s">
        <v>125</v>
      </c>
      <c r="E22" s="7" t="s">
        <v>17</v>
      </c>
      <c r="F22" s="7" t="s">
        <v>28</v>
      </c>
      <c r="G22" s="5" t="s">
        <v>19</v>
      </c>
      <c r="H22" s="5" t="s">
        <v>126</v>
      </c>
      <c r="I22" s="7" t="s">
        <v>21</v>
      </c>
      <c r="J22" s="7" t="s">
        <v>127</v>
      </c>
      <c r="K22" s="7" t="s">
        <v>128</v>
      </c>
      <c r="L22" s="4" t="n">
        <v>30587.86</v>
      </c>
      <c r="M22" s="7" t="s">
        <v>118</v>
      </c>
      <c r="N22" s="7" t="str">
        <f aca="false">IF(L22&gt;$Q$5,"Flagship Project",IF(L22&gt;$Q$4,"Project","Consultancy"))</f>
        <v>Consultancy</v>
      </c>
    </row>
    <row r="23" customFormat="false" ht="57.75" hidden="false" customHeight="true" outlineLevel="0" collapsed="false">
      <c r="B23" s="6" t="n">
        <v>21</v>
      </c>
      <c r="C23" s="5" t="s">
        <v>129</v>
      </c>
      <c r="D23" s="5" t="s">
        <v>130</v>
      </c>
      <c r="E23" s="7" t="s">
        <v>17</v>
      </c>
      <c r="F23" s="7" t="s">
        <v>28</v>
      </c>
      <c r="G23" s="5" t="s">
        <v>19</v>
      </c>
      <c r="H23" s="5" t="s">
        <v>131</v>
      </c>
      <c r="I23" s="7" t="s">
        <v>21</v>
      </c>
      <c r="J23" s="7" t="s">
        <v>67</v>
      </c>
      <c r="K23" s="7" t="s">
        <v>68</v>
      </c>
      <c r="L23" s="4" t="n">
        <v>116943.7</v>
      </c>
      <c r="M23" s="7" t="s">
        <v>118</v>
      </c>
      <c r="N23" s="7" t="str">
        <f aca="false">IF(L23&gt;$Q$5,"Flagship Project",IF(L23&gt;$Q$4,"Project","Consultancy"))</f>
        <v>Consultancy</v>
      </c>
    </row>
    <row r="24" customFormat="false" ht="57.75" hidden="false" customHeight="true" outlineLevel="0" collapsed="false">
      <c r="B24" s="6" t="n">
        <v>22</v>
      </c>
      <c r="C24" s="5" t="s">
        <v>132</v>
      </c>
      <c r="D24" s="5" t="s">
        <v>133</v>
      </c>
      <c r="E24" s="7" t="s">
        <v>17</v>
      </c>
      <c r="F24" s="7" t="s">
        <v>28</v>
      </c>
      <c r="G24" s="5" t="s">
        <v>19</v>
      </c>
      <c r="H24" s="5" t="s">
        <v>134</v>
      </c>
      <c r="I24" s="7" t="s">
        <v>21</v>
      </c>
      <c r="J24" s="7" t="s">
        <v>135</v>
      </c>
      <c r="K24" s="7" t="s">
        <v>136</v>
      </c>
      <c r="L24" s="4" t="n">
        <v>481531.25</v>
      </c>
      <c r="M24" s="7" t="s">
        <v>118</v>
      </c>
      <c r="N24" s="7" t="str">
        <f aca="false">IF(L24&gt;$Q$5,"Flagship Project",IF(L24&gt;$Q$4,"Project","Consultancy"))</f>
        <v>Project</v>
      </c>
    </row>
    <row r="25" customFormat="false" ht="57.75" hidden="false" customHeight="true" outlineLevel="0" collapsed="false">
      <c r="B25" s="6" t="n">
        <v>23</v>
      </c>
      <c r="C25" s="5" t="s">
        <v>137</v>
      </c>
      <c r="D25" s="5" t="s">
        <v>138</v>
      </c>
      <c r="E25" s="7" t="s">
        <v>17</v>
      </c>
      <c r="F25" s="7" t="s">
        <v>71</v>
      </c>
      <c r="G25" s="5" t="s">
        <v>19</v>
      </c>
      <c r="H25" s="5" t="s">
        <v>139</v>
      </c>
      <c r="I25" s="7" t="s">
        <v>21</v>
      </c>
      <c r="J25" s="7" t="s">
        <v>140</v>
      </c>
      <c r="K25" s="7" t="s">
        <v>141</v>
      </c>
      <c r="L25" s="4" t="n">
        <v>996840</v>
      </c>
      <c r="M25" s="7" t="s">
        <v>118</v>
      </c>
      <c r="N25" s="7" t="str">
        <f aca="false">IF(L25&gt;$Q$5,"Flagship Project",IF(L25&gt;$Q$4,"Project","Consultancy"))</f>
        <v>Project</v>
      </c>
    </row>
    <row r="26" customFormat="false" ht="28.5" hidden="false" customHeight="true" outlineLevel="0" collapsed="false">
      <c r="B26" s="6" t="n">
        <v>24</v>
      </c>
      <c r="C26" s="5" t="s">
        <v>142</v>
      </c>
      <c r="D26" s="5" t="s">
        <v>143</v>
      </c>
      <c r="E26" s="7" t="s">
        <v>17</v>
      </c>
      <c r="F26" s="7" t="s">
        <v>144</v>
      </c>
      <c r="G26" s="5" t="s">
        <v>114</v>
      </c>
      <c r="H26" s="5" t="s">
        <v>145</v>
      </c>
      <c r="I26" s="7" t="s">
        <v>21</v>
      </c>
      <c r="J26" s="7" t="s">
        <v>146</v>
      </c>
      <c r="K26" s="7" t="s">
        <v>147</v>
      </c>
      <c r="L26" s="4" t="n">
        <v>379620</v>
      </c>
      <c r="M26" s="7" t="s">
        <v>118</v>
      </c>
      <c r="N26" s="7" t="str">
        <f aca="false">IF(L26&gt;$Q$5,"Flagship Project",IF(L26&gt;$Q$4,"Project","Consultancy"))</f>
        <v>Project</v>
      </c>
    </row>
    <row r="27" customFormat="false" ht="43.5" hidden="false" customHeight="true" outlineLevel="0" collapsed="false">
      <c r="B27" s="6" t="n">
        <v>25</v>
      </c>
      <c r="C27" s="5" t="s">
        <v>148</v>
      </c>
      <c r="D27" s="5" t="s">
        <v>149</v>
      </c>
      <c r="E27" s="7" t="s">
        <v>17</v>
      </c>
      <c r="F27" s="7" t="s">
        <v>150</v>
      </c>
      <c r="G27" s="5" t="s">
        <v>151</v>
      </c>
      <c r="H27" s="5" t="s">
        <v>152</v>
      </c>
      <c r="I27" s="7" t="s">
        <v>21</v>
      </c>
      <c r="J27" s="7" t="s">
        <v>153</v>
      </c>
      <c r="K27" s="7" t="s">
        <v>154</v>
      </c>
      <c r="L27" s="4" t="n">
        <v>6195.7</v>
      </c>
      <c r="M27" s="7" t="s">
        <v>118</v>
      </c>
      <c r="N27" s="7" t="str">
        <f aca="false">IF(L27&gt;$Q$5,"Flagship Project",IF(L27&gt;$Q$4,"Project","Consultancy"))</f>
        <v>Consultancy</v>
      </c>
    </row>
    <row r="28" customFormat="false" ht="57.75" hidden="false" customHeight="true" outlineLevel="0" collapsed="false">
      <c r="B28" s="6" t="n">
        <v>26</v>
      </c>
      <c r="C28" s="5" t="s">
        <v>155</v>
      </c>
      <c r="D28" s="5" t="s">
        <v>156</v>
      </c>
      <c r="E28" s="7" t="s">
        <v>157</v>
      </c>
      <c r="F28" s="7" t="s">
        <v>71</v>
      </c>
      <c r="G28" s="5" t="s">
        <v>19</v>
      </c>
      <c r="H28" s="5" t="s">
        <v>158</v>
      </c>
      <c r="I28" s="7" t="s">
        <v>21</v>
      </c>
      <c r="J28" s="7" t="s">
        <v>159</v>
      </c>
      <c r="K28" s="7" t="s">
        <v>160</v>
      </c>
      <c r="L28" s="4" t="n">
        <v>400000.08</v>
      </c>
      <c r="M28" s="7" t="s">
        <v>118</v>
      </c>
      <c r="N28" s="7" t="str">
        <f aca="false">IF(L28&gt;$Q$5,"Flagship Project",IF(L28&gt;$Q$4,"Project","Consultancy"))</f>
        <v>Project</v>
      </c>
    </row>
    <row r="29" customFormat="false" ht="57.75" hidden="false" customHeight="true" outlineLevel="0" collapsed="false">
      <c r="B29" s="6" t="n">
        <v>27</v>
      </c>
      <c r="C29" s="5" t="s">
        <v>161</v>
      </c>
      <c r="D29" s="5" t="s">
        <v>162</v>
      </c>
      <c r="E29" s="7" t="s">
        <v>47</v>
      </c>
      <c r="F29" s="7" t="s">
        <v>18</v>
      </c>
      <c r="G29" s="5" t="s">
        <v>19</v>
      </c>
      <c r="H29" s="5" t="s">
        <v>163</v>
      </c>
      <c r="I29" s="7" t="s">
        <v>21</v>
      </c>
      <c r="J29" s="7" t="s">
        <v>164</v>
      </c>
      <c r="K29" s="7" t="s">
        <v>165</v>
      </c>
      <c r="L29" s="4" t="n">
        <v>170660</v>
      </c>
      <c r="M29" s="7" t="s">
        <v>118</v>
      </c>
      <c r="N29" s="7" t="str">
        <f aca="false">IF(L29&gt;$Q$5,"Flagship Project",IF(L29&gt;$Q$4,"Project","Consultancy"))</f>
        <v>Consultancy</v>
      </c>
    </row>
    <row r="30" customFormat="false" ht="57.75" hidden="false" customHeight="true" outlineLevel="0" collapsed="false">
      <c r="B30" s="6" t="n">
        <v>28</v>
      </c>
      <c r="C30" s="5" t="s">
        <v>166</v>
      </c>
      <c r="D30" s="5" t="s">
        <v>167</v>
      </c>
      <c r="E30" s="7" t="s">
        <v>17</v>
      </c>
      <c r="F30" s="7" t="s">
        <v>168</v>
      </c>
      <c r="G30" s="5" t="s">
        <v>19</v>
      </c>
      <c r="H30" s="5" t="s">
        <v>169</v>
      </c>
      <c r="I30" s="7" t="s">
        <v>21</v>
      </c>
      <c r="J30" s="7" t="s">
        <v>170</v>
      </c>
      <c r="K30" s="7" t="s">
        <v>171</v>
      </c>
      <c r="L30" s="4" t="n">
        <v>222642.4</v>
      </c>
      <c r="M30" s="7" t="s">
        <v>118</v>
      </c>
      <c r="N30" s="7" t="str">
        <f aca="false">IF(L30&gt;$Q$5,"Flagship Project",IF(L30&gt;$Q$4,"Project","Consultancy"))</f>
        <v>Consultancy</v>
      </c>
    </row>
    <row r="31" customFormat="false" ht="57.75" hidden="false" customHeight="true" outlineLevel="0" collapsed="false">
      <c r="B31" s="6" t="n">
        <v>29</v>
      </c>
      <c r="C31" s="5" t="s">
        <v>172</v>
      </c>
      <c r="D31" s="5" t="s">
        <v>173</v>
      </c>
      <c r="E31" s="7" t="s">
        <v>17</v>
      </c>
      <c r="F31" s="7" t="s">
        <v>87</v>
      </c>
      <c r="G31" s="5" t="s">
        <v>19</v>
      </c>
      <c r="H31" s="5" t="s">
        <v>174</v>
      </c>
      <c r="I31" s="7" t="s">
        <v>21</v>
      </c>
      <c r="J31" s="7" t="s">
        <v>175</v>
      </c>
      <c r="K31" s="7" t="s">
        <v>176</v>
      </c>
      <c r="L31" s="4" t="n">
        <v>507600</v>
      </c>
      <c r="M31" s="7" t="s">
        <v>118</v>
      </c>
      <c r="N31" s="7" t="str">
        <f aca="false">IF(L31&gt;$Q$5,"Flagship Project",IF(L31&gt;$Q$4,"Project","Consultancy"))</f>
        <v>Project</v>
      </c>
    </row>
    <row r="32" customFormat="false" ht="57.75" hidden="false" customHeight="true" outlineLevel="0" collapsed="false">
      <c r="B32" s="6" t="n">
        <v>30</v>
      </c>
      <c r="C32" s="5" t="s">
        <v>177</v>
      </c>
      <c r="D32" s="5" t="s">
        <v>178</v>
      </c>
      <c r="E32" s="7" t="s">
        <v>17</v>
      </c>
      <c r="F32" s="7" t="s">
        <v>18</v>
      </c>
      <c r="G32" s="5" t="s">
        <v>19</v>
      </c>
      <c r="H32" s="5" t="s">
        <v>179</v>
      </c>
      <c r="I32" s="7" t="s">
        <v>21</v>
      </c>
      <c r="J32" s="7" t="s">
        <v>180</v>
      </c>
      <c r="K32" s="7" t="s">
        <v>181</v>
      </c>
      <c r="L32" s="4" t="n">
        <v>348740</v>
      </c>
      <c r="M32" s="7" t="s">
        <v>118</v>
      </c>
      <c r="N32" s="7" t="str">
        <f aca="false">IF(L32&gt;$Q$5,"Flagship Project",IF(L32&gt;$Q$4,"Project","Consultancy"))</f>
        <v>Project</v>
      </c>
    </row>
    <row r="33" customFormat="false" ht="57.75" hidden="false" customHeight="true" outlineLevel="0" collapsed="false">
      <c r="B33" s="6" t="n">
        <v>31</v>
      </c>
      <c r="C33" s="5" t="s">
        <v>182</v>
      </c>
      <c r="D33" s="5" t="s">
        <v>183</v>
      </c>
      <c r="E33" s="7" t="s">
        <v>17</v>
      </c>
      <c r="F33" s="7" t="s">
        <v>184</v>
      </c>
      <c r="G33" s="5" t="s">
        <v>19</v>
      </c>
      <c r="H33" s="5" t="s">
        <v>185</v>
      </c>
      <c r="I33" s="7" t="s">
        <v>21</v>
      </c>
      <c r="J33" s="7" t="s">
        <v>186</v>
      </c>
      <c r="K33" s="7" t="s">
        <v>187</v>
      </c>
      <c r="L33" s="4" t="n">
        <v>149997.42</v>
      </c>
      <c r="M33" s="7" t="s">
        <v>118</v>
      </c>
      <c r="N33" s="7" t="str">
        <f aca="false">IF(L33&gt;$Q$5,"Flagship Project",IF(L33&gt;$Q$4,"Project","Consultancy"))</f>
        <v>Consultancy</v>
      </c>
    </row>
    <row r="34" customFormat="false" ht="87" hidden="false" customHeight="true" outlineLevel="0" collapsed="false">
      <c r="B34" s="6" t="n">
        <v>32</v>
      </c>
      <c r="C34" s="5" t="s">
        <v>188</v>
      </c>
      <c r="D34" s="5" t="s">
        <v>189</v>
      </c>
      <c r="E34" s="7" t="s">
        <v>47</v>
      </c>
      <c r="F34" s="7" t="s">
        <v>144</v>
      </c>
      <c r="G34" s="5" t="s">
        <v>99</v>
      </c>
      <c r="H34" s="5" t="s">
        <v>190</v>
      </c>
      <c r="I34" s="7" t="s">
        <v>21</v>
      </c>
      <c r="J34" s="7" t="s">
        <v>191</v>
      </c>
      <c r="K34" s="7" t="s">
        <v>102</v>
      </c>
      <c r="L34" s="4" t="n">
        <v>318000</v>
      </c>
      <c r="M34" s="7" t="s">
        <v>118</v>
      </c>
      <c r="N34" s="7" t="str">
        <f aca="false">IF(L34&gt;$Q$5,"Flagship Project",IF(L34&gt;$Q$4,"Project","Consultancy"))</f>
        <v>Project</v>
      </c>
    </row>
    <row r="35" customFormat="false" ht="57.75" hidden="false" customHeight="true" outlineLevel="0" collapsed="false">
      <c r="B35" s="6" t="n">
        <v>33</v>
      </c>
      <c r="C35" s="5" t="s">
        <v>192</v>
      </c>
      <c r="D35" s="5" t="s">
        <v>193</v>
      </c>
      <c r="E35" s="7" t="s">
        <v>92</v>
      </c>
      <c r="F35" s="7" t="s">
        <v>65</v>
      </c>
      <c r="G35" s="5" t="s">
        <v>19</v>
      </c>
      <c r="H35" s="5" t="s">
        <v>194</v>
      </c>
      <c r="I35" s="7" t="s">
        <v>21</v>
      </c>
      <c r="J35" s="7" t="s">
        <v>195</v>
      </c>
      <c r="K35" s="7" t="s">
        <v>196</v>
      </c>
      <c r="L35" s="4" t="n">
        <v>91000</v>
      </c>
      <c r="M35" s="7" t="s">
        <v>118</v>
      </c>
      <c r="N35" s="7" t="str">
        <f aca="false">IF(L35&gt;$Q$5,"Flagship Project",IF(L35&gt;$Q$4,"Project","Consultancy"))</f>
        <v>Consultancy</v>
      </c>
    </row>
    <row r="36" customFormat="false" ht="57.75" hidden="false" customHeight="true" outlineLevel="0" collapsed="false">
      <c r="B36" s="6" t="n">
        <v>34</v>
      </c>
      <c r="C36" s="5" t="s">
        <v>197</v>
      </c>
      <c r="D36" s="5" t="s">
        <v>198</v>
      </c>
      <c r="E36" s="7" t="s">
        <v>47</v>
      </c>
      <c r="F36" s="7" t="s">
        <v>87</v>
      </c>
      <c r="G36" s="5" t="s">
        <v>99</v>
      </c>
      <c r="H36" s="5" t="s">
        <v>199</v>
      </c>
      <c r="I36" s="7" t="s">
        <v>21</v>
      </c>
      <c r="J36" s="7" t="s">
        <v>200</v>
      </c>
      <c r="K36" s="7" t="s">
        <v>201</v>
      </c>
      <c r="L36" s="4" t="n">
        <v>464227</v>
      </c>
      <c r="M36" s="7" t="s">
        <v>118</v>
      </c>
      <c r="N36" s="7" t="str">
        <f aca="false">IF(L36&gt;$Q$5,"Flagship Project",IF(L36&gt;$Q$4,"Project","Consultancy"))</f>
        <v>Project</v>
      </c>
    </row>
    <row r="37" customFormat="false" ht="57.75" hidden="false" customHeight="true" outlineLevel="0" collapsed="false">
      <c r="B37" s="6" t="n">
        <v>35</v>
      </c>
      <c r="C37" s="5" t="s">
        <v>202</v>
      </c>
      <c r="D37" s="5" t="s">
        <v>203</v>
      </c>
      <c r="E37" s="7" t="s">
        <v>47</v>
      </c>
      <c r="F37" s="7" t="s">
        <v>71</v>
      </c>
      <c r="G37" s="5" t="s">
        <v>19</v>
      </c>
      <c r="H37" s="5" t="s">
        <v>204</v>
      </c>
      <c r="I37" s="7" t="s">
        <v>21</v>
      </c>
      <c r="J37" s="7" t="s">
        <v>205</v>
      </c>
      <c r="K37" s="7" t="s">
        <v>181</v>
      </c>
      <c r="L37" s="4" t="n">
        <v>279999.95</v>
      </c>
      <c r="M37" s="7" t="s">
        <v>118</v>
      </c>
      <c r="N37" s="7" t="str">
        <f aca="false">IF(L37&gt;$Q$5,"Flagship Project",IF(L37&gt;$Q$4,"Project","Consultancy"))</f>
        <v>Project</v>
      </c>
    </row>
    <row r="38" customFormat="false" ht="57.75" hidden="false" customHeight="true" outlineLevel="0" collapsed="false">
      <c r="B38" s="6" t="n">
        <v>36</v>
      </c>
      <c r="C38" s="5" t="s">
        <v>206</v>
      </c>
      <c r="D38" s="5" t="s">
        <v>207</v>
      </c>
      <c r="E38" s="7" t="s">
        <v>47</v>
      </c>
      <c r="F38" s="7" t="s">
        <v>28</v>
      </c>
      <c r="G38" s="5" t="s">
        <v>19</v>
      </c>
      <c r="H38" s="5" t="s">
        <v>208</v>
      </c>
      <c r="I38" s="7" t="s">
        <v>21</v>
      </c>
      <c r="J38" s="7" t="s">
        <v>170</v>
      </c>
      <c r="K38" s="7" t="s">
        <v>209</v>
      </c>
      <c r="L38" s="4" t="n">
        <v>452620</v>
      </c>
      <c r="M38" s="7" t="s">
        <v>118</v>
      </c>
      <c r="N38" s="7" t="str">
        <f aca="false">IF(L38&gt;$Q$5,"Flagship Project",IF(L38&gt;$Q$4,"Project","Consultancy"))</f>
        <v>Project</v>
      </c>
    </row>
    <row r="39" customFormat="false" ht="28.5" hidden="false" customHeight="true" outlineLevel="0" collapsed="false">
      <c r="B39" s="6" t="n">
        <v>37</v>
      </c>
      <c r="C39" s="5" t="s">
        <v>210</v>
      </c>
      <c r="D39" s="5" t="s">
        <v>211</v>
      </c>
      <c r="E39" s="7" t="s">
        <v>92</v>
      </c>
      <c r="F39" s="7" t="s">
        <v>150</v>
      </c>
      <c r="G39" s="5" t="s">
        <v>151</v>
      </c>
      <c r="H39" s="5" t="s">
        <v>212</v>
      </c>
      <c r="I39" s="7" t="s">
        <v>21</v>
      </c>
      <c r="J39" s="7" t="s">
        <v>213</v>
      </c>
      <c r="K39" s="7" t="s">
        <v>214</v>
      </c>
      <c r="L39" s="4" t="n">
        <v>4558</v>
      </c>
      <c r="M39" s="7" t="s">
        <v>118</v>
      </c>
      <c r="N39" s="7" t="str">
        <f aca="false">IF(L39&gt;$Q$5,"Flagship Project",IF(L39&gt;$Q$4,"Project","Consultancy"))</f>
        <v>Consultancy</v>
      </c>
    </row>
    <row r="40" customFormat="false" ht="43.5" hidden="false" customHeight="true" outlineLevel="0" collapsed="false">
      <c r="B40" s="6" t="n">
        <v>38</v>
      </c>
      <c r="C40" s="5" t="s">
        <v>215</v>
      </c>
      <c r="D40" s="5" t="s">
        <v>216</v>
      </c>
      <c r="E40" s="7" t="s">
        <v>92</v>
      </c>
      <c r="F40" s="7" t="s">
        <v>98</v>
      </c>
      <c r="G40" s="5" t="s">
        <v>217</v>
      </c>
      <c r="H40" s="5" t="s">
        <v>218</v>
      </c>
      <c r="I40" s="7" t="s">
        <v>21</v>
      </c>
      <c r="J40" s="7" t="s">
        <v>219</v>
      </c>
      <c r="K40" s="7" t="s">
        <v>220</v>
      </c>
      <c r="L40" s="4" t="n">
        <v>180000.72</v>
      </c>
      <c r="M40" s="7" t="s">
        <v>118</v>
      </c>
      <c r="N40" s="7" t="str">
        <f aca="false">IF(L40&gt;$Q$5,"Flagship Project",IF(L40&gt;$Q$4,"Project","Consultancy"))</f>
        <v>Consultancy</v>
      </c>
    </row>
    <row r="41" customFormat="false" ht="57.75" hidden="false" customHeight="true" outlineLevel="0" collapsed="false">
      <c r="B41" s="6" t="n">
        <v>39</v>
      </c>
      <c r="C41" s="5" t="s">
        <v>221</v>
      </c>
      <c r="D41" s="5" t="s">
        <v>222</v>
      </c>
      <c r="E41" s="7" t="s">
        <v>92</v>
      </c>
      <c r="F41" s="7" t="s">
        <v>28</v>
      </c>
      <c r="G41" s="5" t="s">
        <v>19</v>
      </c>
      <c r="H41" s="5" t="s">
        <v>223</v>
      </c>
      <c r="I41" s="7" t="s">
        <v>21</v>
      </c>
      <c r="J41" s="7" t="s">
        <v>224</v>
      </c>
      <c r="K41" s="7" t="s">
        <v>201</v>
      </c>
      <c r="L41" s="4" t="n">
        <v>963601.22</v>
      </c>
      <c r="M41" s="7" t="s">
        <v>118</v>
      </c>
      <c r="N41" s="7" t="str">
        <f aca="false">IF(L41&gt;$Q$5,"Flagship Project",IF(L41&gt;$Q$4,"Project","Consultancy"))</f>
        <v>Project</v>
      </c>
    </row>
    <row r="42" customFormat="false" ht="43.5" hidden="false" customHeight="true" outlineLevel="0" collapsed="false">
      <c r="B42" s="6" t="n">
        <v>40</v>
      </c>
      <c r="C42" s="5" t="s">
        <v>225</v>
      </c>
      <c r="D42" s="5" t="s">
        <v>225</v>
      </c>
      <c r="E42" s="7" t="s">
        <v>92</v>
      </c>
      <c r="F42" s="7" t="s">
        <v>226</v>
      </c>
      <c r="G42" s="5" t="s">
        <v>227</v>
      </c>
      <c r="H42" s="5" t="s">
        <v>228</v>
      </c>
      <c r="I42" s="7" t="s">
        <v>55</v>
      </c>
      <c r="J42" s="7" t="s">
        <v>229</v>
      </c>
      <c r="K42" s="7" t="s">
        <v>230</v>
      </c>
      <c r="L42" s="4" t="n">
        <v>5157900</v>
      </c>
      <c r="M42" s="7" t="s">
        <v>118</v>
      </c>
      <c r="N42" s="7" t="str">
        <f aca="false">IF(L42&gt;$Q$5,"Flagship Project",IF(L42&gt;$Q$4,"Project","Consultancy"))</f>
        <v>Flagship Project</v>
      </c>
    </row>
    <row r="43" customFormat="false" ht="57.75" hidden="false" customHeight="true" outlineLevel="0" collapsed="false">
      <c r="B43" s="6" t="n">
        <v>41</v>
      </c>
      <c r="C43" s="5" t="s">
        <v>231</v>
      </c>
      <c r="D43" s="5" t="s">
        <v>231</v>
      </c>
      <c r="E43" s="7" t="s">
        <v>92</v>
      </c>
      <c r="F43" s="7" t="s">
        <v>48</v>
      </c>
      <c r="G43" s="5" t="s">
        <v>19</v>
      </c>
      <c r="H43" s="5" t="s">
        <v>232</v>
      </c>
      <c r="I43" s="7" t="s">
        <v>21</v>
      </c>
      <c r="J43" s="7" t="s">
        <v>233</v>
      </c>
      <c r="K43" s="7" t="s">
        <v>234</v>
      </c>
      <c r="L43" s="4" t="n">
        <v>606320</v>
      </c>
      <c r="M43" s="7" t="s">
        <v>118</v>
      </c>
      <c r="N43" s="7" t="str">
        <f aca="false">IF(L43&gt;$Q$5,"Flagship Project",IF(L43&gt;$Q$4,"Project","Consultancy"))</f>
        <v>Project</v>
      </c>
    </row>
    <row r="44" customFormat="false" ht="57.75" hidden="false" customHeight="true" outlineLevel="0" collapsed="false">
      <c r="B44" s="6" t="n">
        <v>42</v>
      </c>
      <c r="C44" s="5" t="s">
        <v>235</v>
      </c>
      <c r="D44" s="5" t="s">
        <v>235</v>
      </c>
      <c r="E44" s="7" t="s">
        <v>92</v>
      </c>
      <c r="F44" s="7" t="s">
        <v>28</v>
      </c>
      <c r="G44" s="5" t="s">
        <v>19</v>
      </c>
      <c r="H44" s="5" t="s">
        <v>236</v>
      </c>
      <c r="I44" s="7" t="s">
        <v>21</v>
      </c>
      <c r="J44" s="7" t="s">
        <v>237</v>
      </c>
      <c r="K44" s="7" t="s">
        <v>238</v>
      </c>
      <c r="L44" s="4" t="n">
        <v>1031380</v>
      </c>
      <c r="M44" s="7" t="s">
        <v>118</v>
      </c>
      <c r="N44" s="7" t="str">
        <f aca="false">IF(L44&gt;$Q$5,"Flagship Project",IF(L44&gt;$Q$4,"Project","Consultancy"))</f>
        <v>Flagship Project</v>
      </c>
    </row>
    <row r="45" customFormat="false" ht="57.75" hidden="false" customHeight="true" outlineLevel="0" collapsed="false">
      <c r="B45" s="6" t="n">
        <v>43</v>
      </c>
      <c r="C45" s="5" t="s">
        <v>239</v>
      </c>
      <c r="D45" s="5" t="s">
        <v>240</v>
      </c>
      <c r="E45" s="7" t="s">
        <v>47</v>
      </c>
      <c r="F45" s="7" t="s">
        <v>18</v>
      </c>
      <c r="G45" s="5" t="s">
        <v>19</v>
      </c>
      <c r="H45" s="5" t="s">
        <v>241</v>
      </c>
      <c r="I45" s="7" t="s">
        <v>21</v>
      </c>
      <c r="J45" s="7" t="s">
        <v>242</v>
      </c>
      <c r="K45" s="7" t="s">
        <v>243</v>
      </c>
      <c r="L45" s="4" t="n">
        <v>429300</v>
      </c>
      <c r="M45" s="7" t="s">
        <v>118</v>
      </c>
      <c r="N45" s="7" t="str">
        <f aca="false">IF(L45&gt;$Q$5,"Flagship Project",IF(L45&gt;$Q$4,"Project","Consultancy"))</f>
        <v>Project</v>
      </c>
    </row>
    <row r="46" customFormat="false" ht="43.5" hidden="false" customHeight="true" outlineLevel="0" collapsed="false">
      <c r="B46" s="6" t="n">
        <v>44</v>
      </c>
      <c r="C46" s="5" t="s">
        <v>244</v>
      </c>
      <c r="D46" s="5" t="s">
        <v>245</v>
      </c>
      <c r="E46" s="7" t="s">
        <v>47</v>
      </c>
      <c r="F46" s="7" t="s">
        <v>150</v>
      </c>
      <c r="G46" s="5" t="s">
        <v>151</v>
      </c>
      <c r="H46" s="5" t="s">
        <v>246</v>
      </c>
      <c r="I46" s="7" t="s">
        <v>21</v>
      </c>
      <c r="J46" s="7" t="s">
        <v>247</v>
      </c>
      <c r="K46" s="7" t="s">
        <v>191</v>
      </c>
      <c r="L46" s="4" t="n">
        <v>12390.34</v>
      </c>
      <c r="M46" s="7" t="s">
        <v>118</v>
      </c>
      <c r="N46" s="7" t="str">
        <f aca="false">IF(L46&gt;$Q$5,"Flagship Project",IF(L46&gt;$Q$4,"Project","Consultancy"))</f>
        <v>Consultancy</v>
      </c>
    </row>
    <row r="47" customFormat="false" ht="57.75" hidden="false" customHeight="true" outlineLevel="0" collapsed="false">
      <c r="B47" s="6" t="n">
        <v>45</v>
      </c>
      <c r="C47" s="5" t="s">
        <v>248</v>
      </c>
      <c r="D47" s="5" t="s">
        <v>249</v>
      </c>
      <c r="E47" s="7" t="s">
        <v>157</v>
      </c>
      <c r="F47" s="7" t="s">
        <v>48</v>
      </c>
      <c r="G47" s="5" t="s">
        <v>19</v>
      </c>
      <c r="H47" s="5" t="s">
        <v>250</v>
      </c>
      <c r="I47" s="7" t="s">
        <v>21</v>
      </c>
      <c r="J47" s="7" t="s">
        <v>251</v>
      </c>
      <c r="K47" s="7" t="s">
        <v>252</v>
      </c>
      <c r="L47" s="4" t="n">
        <v>807511.29</v>
      </c>
      <c r="M47" s="7" t="s">
        <v>118</v>
      </c>
      <c r="N47" s="7" t="str">
        <f aca="false">IF(L47&gt;$Q$5,"Flagship Project",IF(L47&gt;$Q$4,"Project","Consultancy"))</f>
        <v>Project</v>
      </c>
    </row>
    <row r="48" customFormat="false" ht="57.75" hidden="false" customHeight="true" outlineLevel="0" collapsed="false">
      <c r="B48" s="6" t="n">
        <v>46</v>
      </c>
      <c r="C48" s="5" t="s">
        <v>253</v>
      </c>
      <c r="D48" s="5" t="s">
        <v>254</v>
      </c>
      <c r="E48" s="7" t="s">
        <v>92</v>
      </c>
      <c r="F48" s="7" t="s">
        <v>65</v>
      </c>
      <c r="G48" s="5" t="s">
        <v>19</v>
      </c>
      <c r="H48" s="5" t="s">
        <v>255</v>
      </c>
      <c r="I48" s="7" t="s">
        <v>55</v>
      </c>
      <c r="J48" s="7" t="s">
        <v>256</v>
      </c>
      <c r="K48" s="7" t="s">
        <v>257</v>
      </c>
      <c r="L48" s="4" t="n">
        <v>256096</v>
      </c>
      <c r="M48" s="7" t="s">
        <v>118</v>
      </c>
      <c r="N48" s="7" t="str">
        <f aca="false">IF(L48&gt;$Q$5,"Flagship Project",IF(L48&gt;$Q$4,"Project","Consultancy"))</f>
        <v>Project</v>
      </c>
    </row>
    <row r="49" customFormat="false" ht="57.75" hidden="false" customHeight="true" outlineLevel="0" collapsed="false">
      <c r="B49" s="6" t="n">
        <v>47</v>
      </c>
      <c r="C49" s="5" t="s">
        <v>258</v>
      </c>
      <c r="D49" s="5" t="s">
        <v>259</v>
      </c>
      <c r="E49" s="7" t="s">
        <v>47</v>
      </c>
      <c r="F49" s="7" t="s">
        <v>18</v>
      </c>
      <c r="G49" s="5" t="s">
        <v>19</v>
      </c>
      <c r="H49" s="5" t="s">
        <v>260</v>
      </c>
      <c r="I49" s="7" t="s">
        <v>55</v>
      </c>
      <c r="J49" s="7" t="s">
        <v>261</v>
      </c>
      <c r="K49" s="7" t="s">
        <v>262</v>
      </c>
      <c r="L49" s="4" t="n">
        <v>3795000</v>
      </c>
      <c r="M49" s="7" t="s">
        <v>118</v>
      </c>
      <c r="N49" s="7" t="str">
        <f aca="false">IF(L49&gt;$Q$5,"Flagship Project",IF(L49&gt;$Q$4,"Project","Consultancy"))</f>
        <v>Flagship Project</v>
      </c>
    </row>
    <row r="50" customFormat="false" ht="57.75" hidden="false" customHeight="true" outlineLevel="0" collapsed="false">
      <c r="B50" s="6" t="n">
        <v>48</v>
      </c>
      <c r="C50" s="5" t="s">
        <v>263</v>
      </c>
      <c r="D50" s="5" t="s">
        <v>264</v>
      </c>
      <c r="E50" s="7" t="s">
        <v>92</v>
      </c>
      <c r="F50" s="7" t="s">
        <v>65</v>
      </c>
      <c r="G50" s="5" t="s">
        <v>19</v>
      </c>
      <c r="H50" s="5" t="s">
        <v>77</v>
      </c>
      <c r="I50" s="7" t="s">
        <v>21</v>
      </c>
      <c r="J50" s="7" t="s">
        <v>265</v>
      </c>
      <c r="K50" s="7" t="s">
        <v>262</v>
      </c>
      <c r="L50" s="4" t="n">
        <v>384144</v>
      </c>
      <c r="M50" s="7" t="s">
        <v>118</v>
      </c>
      <c r="N50" s="7" t="str">
        <f aca="false">IF(L50&gt;$Q$5,"Flagship Project",IF(L50&gt;$Q$4,"Project","Consultancy"))</f>
        <v>Project</v>
      </c>
    </row>
    <row r="51" customFormat="false" ht="57.75" hidden="false" customHeight="true" outlineLevel="0" collapsed="false">
      <c r="B51" s="6" t="n">
        <v>49</v>
      </c>
      <c r="C51" s="5" t="s">
        <v>266</v>
      </c>
      <c r="D51" s="5" t="s">
        <v>266</v>
      </c>
      <c r="E51" s="7" t="s">
        <v>92</v>
      </c>
      <c r="F51" s="7" t="s">
        <v>18</v>
      </c>
      <c r="G51" s="5" t="s">
        <v>19</v>
      </c>
      <c r="H51" s="5" t="s">
        <v>267</v>
      </c>
      <c r="I51" s="7" t="s">
        <v>55</v>
      </c>
      <c r="J51" s="7" t="s">
        <v>268</v>
      </c>
      <c r="K51" s="7" t="s">
        <v>269</v>
      </c>
      <c r="L51" s="4" t="n">
        <v>1657840</v>
      </c>
      <c r="M51" s="7" t="s">
        <v>118</v>
      </c>
      <c r="N51" s="7" t="str">
        <f aca="false">IF(L51&gt;$Q$5,"Flagship Project",IF(L51&gt;$Q$4,"Project","Consultancy"))</f>
        <v>Flagship Project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2026-10-05T07:36:28Z</dcterms:created>
  <dc:creator>Latty Shazana binti Ismail (PGR-SS/UTP)</dc:creator>
  <dc:description/>
  <dc:language>en-US</dc:language>
  <cp:lastModifiedBy>Latty Shazana binti Ismail (PGR-SS/UTP)</cp:lastModifiedBy>
  <dcterms:modified xsi:type="dcterms:W3CDTF">2026-10-19T16:30:04Z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